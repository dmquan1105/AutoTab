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d583d2675e4c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ations_Test" sheetId="1" r:id="R82ab4701d26345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66666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7030A0"/>
      </x:patternFill>
    </x:fill>
  </x:fills>
  <x:borders count="26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1" fillId="2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6" xfId="0" applyNumberFormat="1" applyFont="1" applyFill="1" applyBorder="1" applyAlignment="1">
      <x:alignment horizontal="center"/>
    </x:xf>
    <x:xf numFmtId="0" fontId="2" fillId="3" borderId="7" xfId="0" applyNumberFormat="1" applyFont="1" applyFill="1" applyBorder="1" applyAlignment="1">
      <x:alignment horizontal="center"/>
    </x:xf>
    <x:xf numFmtId="0" fontId="0" fillId="3" borderId="15" xfId="0" applyNumberFormat="1" applyFont="1" applyFill="1" applyBorder="1"/>
    <x:xf numFmtId="0" fontId="0" fillId="3" borderId="16" xfId="0" applyNumberFormat="1" applyFont="1" applyFill="1" applyBorder="1"/>
    <x:xf numFmtId="0" fontId="2" fillId="3" borderId="15" xfId="0" applyNumberFormat="1" applyFont="1" applyFill="1" applyBorder="1"/>
    <x:xf numFmtId="0" fontId="2" fillId="3" borderId="16" xfId="0" applyNumberFormat="1" applyFont="1" applyFill="1" applyBorder="1"/>
    <x:xf numFmtId="0" fontId="2" fillId="3" borderId="15" xfId="0" applyNumberFormat="1" applyFont="1" applyFill="1" applyBorder="1" applyAlignment="1">
      <x:alignment horizontal="center"/>
    </x:xf>
    <x:xf numFmtId="0" fontId="2" fillId="3" borderId="16" xfId="0" applyNumberFormat="1" applyFont="1" applyFill="1" applyBorder="1" applyAlignment="1">
      <x:alignment horizontal="center"/>
    </x:xf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0" fillId="4" borderId="18" xfId="0" applyNumberFormat="1" applyFont="1" applyFill="1" applyBorder="1"/>
    <x:xf numFmtId="0" fontId="0" fillId="4" borderId="19" xfId="0" applyNumberFormat="1" applyFont="1" applyFill="1" applyBorder="1"/>
    <x:xf numFmtId="0" fontId="3" fillId="4" borderId="18" xfId="0" applyNumberFormat="1" applyFont="1" applyFill="1" applyBorder="1"/>
    <x:xf numFmtId="0" fontId="3" fillId="4" borderId="19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0928f340040dd" /><Relationship Type="http://schemas.openxmlformats.org/officeDocument/2006/relationships/theme" Target="/xl/theme/theme1.xml" Id="R7bba3b746a51429e" /><Relationship Type="http://schemas.openxmlformats.org/officeDocument/2006/relationships/sharedStrings" Target="/xl/sharedStrings.xml" Id="R4b6fe945430245fb" /><Relationship Type="http://schemas.openxmlformats.org/officeDocument/2006/relationships/worksheet" Target="/xl/worksheets/sheet1.xml" Id="R82ab4701d2634537" /></Relationships>
</file>

<file path=xl/tables/table1.xml><?xml version="1.0" encoding="utf-8"?>
<x:table xmlns:x="http://schemas.openxmlformats.org/spreadsheetml/2006/main" id="1" name="RelationsMainTable" displayName="RelationsMainTable" ref="A1:H51" headerRowCount="1">
  <x:tableColumns count="8">
    <x:tableColumn id="1" name="Khu vực"/>
    <x:tableColumn id="2" name="Giới tính"/>
    <x:tableColumn id="3" name="Value 1"/>
    <x:tableColumn id="4" name="Value 2"/>
    <x:tableColumn id="5" name="Value 3"/>
    <x:tableColumn id="6" name="Tổng dòng"/>
    <x:tableColumn id="7" name="Số lượng sau điều chỉnh"/>
    <x:tableColumn id="8" name="Trạng thá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f28ad84800456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4" hidden="0" customWidth="1"/>
    <x:col min="10" max="10" width="22" hidden="0" customWidth="1"/>
    <x:col min="11" max="11" width="16" hidden="0" customWidth="1"/>
    <x:col min="9" max="9" width="17" hidden="0" customWidth="1"/>
  </x:cols>
  <x:sheetData>
    <x:row r="1">
      <x:c r="A1" s="10" t="str">
        <x:v>Khu vực</x:v>
      </x:c>
      <x:c r="B1" s="11" t="str">
        <x:v>Giới tính</x:v>
      </x:c>
      <x:c r="C1" s="11" t="str">
        <x:v>Value 1</x:v>
      </x:c>
      <x:c r="D1" s="11" t="str">
        <x:v>Value 2</x:v>
      </x:c>
      <x:c r="E1" s="11" t="str">
        <x:v>Value 3</x:v>
      </x:c>
      <x:c r="F1" s="11" t="str">
        <x:v>Tổng dòng</x:v>
      </x:c>
      <x:c r="G1" s="11" t="str">
        <x:v>Số lượng sau điều chỉnh</x:v>
      </x:c>
      <x:c r="H1" s="12" t="str">
        <x:v>Trạng thái</x:v>
      </x:c>
      <x:c r="J1" s="50" t="str">
        <x:v>Parameter</x:v>
      </x:c>
      <x:c r="K1" s="50" t="str">
        <x:v>Value</x:v>
      </x:c>
    </x:row>
    <x:row r="2">
      <x:c r="A2" s="13" t="str">
        <x:v>A</x:v>
      </x:c>
      <x:c r="B2" s="14" t="str">
        <x:v>Nam</x:v>
      </x:c>
      <x:c r="C2" s="14" t="n">
        <x:v>10</x:v>
      </x:c>
      <x:c r="D2" s="14" t="n">
        <x:v>20</x:v>
      </x:c>
      <x:c r="E2" s="14" t="n">
        <x:v>5</x:v>
      </x:c>
      <x:c r="F2" s="14" t="n">
        <x:f>SUM(C2:E2)</x:f>
        <x:v>35</x:v>
      </x:c>
      <x:c r="G2" s="14" t="n">
        <x:f>F2*$K$2</x:f>
        <x:v>40.25</x:v>
      </x:c>
      <x:c r="H2" s="15" t="str">
        <x:f>IF(G2&gt;$K$3,"NG","OK")</x:f>
        <x:v>OK</x:v>
      </x:c>
      <x:c r="J2" s="54" t="str">
        <x:v>Adjustment Rate</x:v>
      </x:c>
      <x:c r="K2" s="55" t="n">
        <x:v>1.15</x:v>
      </x:c>
    </x:row>
    <x:row r="3">
      <x:c r="A3" s="13" t="str">
        <x:v>B</x:v>
      </x:c>
      <x:c r="B3" s="14" t="str">
        <x:v>Nữ</x:v>
      </x:c>
      <x:c r="C3" s="14" t="n">
        <x:v>12</x:v>
      </x:c>
      <x:c r="D3" s="14" t="n">
        <x:v>23</x:v>
      </x:c>
      <x:c r="E3" s="14" t="n">
        <x:v>9</x:v>
      </x:c>
      <x:c r="F3" s="14" t="n">
        <x:f>SUM(C3:E3)</x:f>
        <x:v>44</x:v>
      </x:c>
      <x:c r="G3" s="14" t="n">
        <x:f>F3*$K$2</x:f>
        <x:v>50.599999999999994</x:v>
      </x:c>
      <x:c r="H3" s="15" t="str">
        <x:f>IF(G3&gt;$K$3,"NG","OK")</x:f>
        <x:v>OK</x:v>
      </x:c>
      <x:c r="J3" s="56" t="str">
        <x:v>NG Threshold</x:v>
      </x:c>
      <x:c r="K3" s="57" t="n">
        <x:v>55</x:v>
      </x:c>
    </x:row>
    <x:row r="4">
      <x:c r="A4" s="13" t="str">
        <x:v>C</x:v>
      </x:c>
      <x:c r="B4" s="14" t="str">
        <x:v>Nam</x:v>
      </x:c>
      <x:c r="C4" s="14" t="n">
        <x:v>14</x:v>
      </x:c>
      <x:c r="D4" s="14" t="n">
        <x:v>26</x:v>
      </x:c>
      <x:c r="E4" s="14" t="n">
        <x:v>13</x:v>
      </x:c>
      <x:c r="F4" s="14" t="n">
        <x:f>SUM(C4:E4)</x:f>
        <x:v>53</x:v>
      </x:c>
      <x:c r="G4" s="14" t="n">
        <x:f>F4*$K$2</x:f>
        <x:v>60.949999999999996</x:v>
      </x:c>
      <x:c r="H4" s="15" t="str">
        <x:f>IF(G4&gt;$K$3,"NG","OK")</x:f>
        <x:v>NG</x:v>
      </x:c>
      <x:c r="J4" s="56" t="str">
        <x:v>Overall Status</x:v>
      </x:c>
      <x:c r="K4" s="57" t="str">
        <x:f>IF(F52&gt;$K$3,"NG","OK")</x:f>
        <x:v>NG</x:v>
      </x:c>
    </x:row>
    <x:row r="5">
      <x:c r="A5" s="13" t="str">
        <x:v>A</x:v>
      </x:c>
      <x:c r="B5" s="14" t="str">
        <x:v>Nữ</x:v>
      </x:c>
      <x:c r="C5" s="14" t="n">
        <x:v>16</x:v>
      </x:c>
      <x:c r="D5" s="14" t="n">
        <x:v>29</x:v>
      </x:c>
      <x:c r="E5" s="14" t="n">
        <x:v>17</x:v>
      </x:c>
      <x:c r="F5" s="14" t="n">
        <x:f>SUM(C5:E5)</x:f>
        <x:v>62</x:v>
      </x:c>
      <x:c r="G5" s="14" t="n">
        <x:f>F5*$K$2</x:f>
        <x:v>71.3</x:v>
      </x:c>
      <x:c r="H5" s="15" t="str">
        <x:f>IF(G5&gt;$K$3,"NG","OK")</x:f>
        <x:v>NG</x:v>
      </x:c>
      <x:c r="J5" s="58" t="str">
        <x:v>Broken Ref Example</x:v>
      </x:c>
      <x:c r="K5" s="59" t="e">
        <x:f>#REF!+F10</x:f>
      </x:c>
    </x:row>
    <x:row r="6">
      <x:c r="A6" s="13" t="str">
        <x:v>B</x:v>
      </x:c>
      <x:c r="B6" s="14" t="str">
        <x:v>Nam</x:v>
      </x:c>
      <x:c r="C6" s="14" t="n">
        <x:v>18</x:v>
      </x:c>
      <x:c r="D6" s="14" t="n">
        <x:v>32</x:v>
      </x:c>
      <x:c r="E6" s="14" t="n">
        <x:v>5</x:v>
      </x:c>
      <x:c r="F6" s="14" t="n">
        <x:f>SUM(C6:E6)</x:f>
        <x:v>55</x:v>
      </x:c>
      <x:c r="G6" s="14" t="n">
        <x:f>F6*$K$2</x:f>
        <x:v>63.24999999999999</x:v>
      </x:c>
      <x:c r="H6" s="15" t="str">
        <x:f>IF(G6&gt;$K$3,"NG","OK")</x:f>
        <x:v>NG</x:v>
      </x:c>
    </x:row>
    <x:row r="7">
      <x:c r="A7" s="13" t="str">
        <x:v>A</x:v>
      </x:c>
      <x:c r="B7" s="14" t="str">
        <x:v>Nữ</x:v>
      </x:c>
      <x:c r="C7" s="14" t="n">
        <x:v>20</x:v>
      </x:c>
      <x:c r="D7" s="14" t="n">
        <x:v>20</x:v>
      </x:c>
      <x:c r="E7" s="14" t="n">
        <x:v>9</x:v>
      </x:c>
      <x:c r="F7" s="14" t="n">
        <x:f>SUM(C7:E7)</x:f>
        <x:v>49</x:v>
      </x:c>
      <x:c r="G7" s="14" t="n">
        <x:f>F7*$K$2</x:f>
        <x:v>56.349999999999994</x:v>
      </x:c>
      <x:c r="H7" s="15" t="str">
        <x:f>IF(G7&gt;$K$3,"NG","OK")</x:f>
        <x:v>NG</x:v>
      </x:c>
    </x:row>
    <x:row r="8">
      <x:c r="A8" s="13" t="str">
        <x:v>B</x:v>
      </x:c>
      <x:c r="B8" s="14" t="str">
        <x:v>Nam</x:v>
      </x:c>
      <x:c r="C8" s="14" t="n">
        <x:v>22</x:v>
      </x:c>
      <x:c r="D8" s="14" t="n">
        <x:v>23</x:v>
      </x:c>
      <x:c r="E8" s="14" t="n">
        <x:v>13</x:v>
      </x:c>
      <x:c r="F8" s="14" t="n">
        <x:f>SUM(C8:E8)</x:f>
        <x:v>58</x:v>
      </x:c>
      <x:c r="G8" s="14" t="n">
        <x:f>F8*$K$2</x:f>
        <x:v>66.69999999999999</x:v>
      </x:c>
      <x:c r="H8" s="15" t="str">
        <x:f>IF(G8&gt;$K$3,"NG","OK")</x:f>
        <x:v>NG</x:v>
      </x:c>
    </x:row>
    <x:row r="9">
      <x:c r="A9" s="13" t="str">
        <x:v>C</x:v>
      </x:c>
      <x:c r="B9" s="14" t="str">
        <x:v>Nữ</x:v>
      </x:c>
      <x:c r="C9" s="14" t="n">
        <x:v>10</x:v>
      </x:c>
      <x:c r="D9" s="14" t="n">
        <x:v>26</x:v>
      </x:c>
      <x:c r="E9" s="14" t="n">
        <x:v>17</x:v>
      </x:c>
      <x:c r="F9" s="14" t="n">
        <x:f>SUM(C9:E9)</x:f>
        <x:v>53</x:v>
      </x:c>
      <x:c r="G9" s="14" t="n">
        <x:f>F9*$K$2</x:f>
        <x:v>60.949999999999996</x:v>
      </x:c>
      <x:c r="H9" s="15" t="str">
        <x:f>IF(G9&gt;$K$3,"NG","OK")</x:f>
        <x:v>NG</x:v>
      </x:c>
    </x:row>
    <x:row r="10">
      <x:c r="A10" s="13" t="str">
        <x:v>A</x:v>
      </x:c>
      <x:c r="B10" s="14" t="str">
        <x:v>Nam</x:v>
      </x:c>
      <x:c r="C10" s="14" t="n">
        <x:v>12</x:v>
      </x:c>
      <x:c r="D10" s="14" t="n">
        <x:v>29</x:v>
      </x:c>
      <x:c r="E10" s="14" t="n">
        <x:v>5</x:v>
      </x:c>
      <x:c r="F10" s="14" t="n">
        <x:f>SUM(C10:E10)</x:f>
        <x:v>46</x:v>
      </x:c>
      <x:c r="G10" s="14" t="n">
        <x:f>F10*$K$2</x:f>
        <x:v>52.9</x:v>
      </x:c>
      <x:c r="H10" s="15" t="str">
        <x:f>IF(G10&gt;$K$3,"NG","OK")</x:f>
        <x:v>OK</x:v>
      </x:c>
    </x:row>
    <x:row r="11">
      <x:c r="A11" s="13" t="str">
        <x:v>B</x:v>
      </x:c>
      <x:c r="B11" s="14" t="str">
        <x:v>Nữ</x:v>
      </x:c>
      <x:c r="C11" s="14" t="n">
        <x:v>14</x:v>
      </x:c>
      <x:c r="D11" s="14" t="n">
        <x:v>32</x:v>
      </x:c>
      <x:c r="E11" s="14" t="n">
        <x:v>9</x:v>
      </x:c>
      <x:c r="F11" s="14" t="n">
        <x:f>SUM(C11:E11)</x:f>
        <x:v>55</x:v>
      </x:c>
      <x:c r="G11" s="14" t="n">
        <x:f>F11*$K$2</x:f>
        <x:v>63.24999999999999</x:v>
      </x:c>
      <x:c r="H11" s="15" t="str">
        <x:f>IF(G11&gt;$K$3,"NG","OK")</x:f>
        <x:v>NG</x:v>
      </x:c>
    </x:row>
    <x:row r="12">
      <x:c r="A12" s="13" t="str">
        <x:v>A</x:v>
      </x:c>
      <x:c r="B12" s="14" t="str">
        <x:v>Nam</x:v>
      </x:c>
      <x:c r="C12" s="14" t="n">
        <x:v>16</x:v>
      </x:c>
      <x:c r="D12" s="14" t="n">
        <x:v>20</x:v>
      </x:c>
      <x:c r="E12" s="14" t="n">
        <x:v>13</x:v>
      </x:c>
      <x:c r="F12" s="14" t="n">
        <x:f>SUM(C12:E12)</x:f>
        <x:v>49</x:v>
      </x:c>
      <x:c r="G12" s="14" t="n">
        <x:f>F12*$K$2</x:f>
        <x:v>56.349999999999994</x:v>
      </x:c>
      <x:c r="H12" s="15" t="str">
        <x:f>IF(G12&gt;$K$3,"NG","OK")</x:f>
        <x:v>NG</x:v>
      </x:c>
    </x:row>
    <x:row r="13">
      <x:c r="A13" s="13" t="str">
        <x:v>B</x:v>
      </x:c>
      <x:c r="B13" s="14" t="str">
        <x:v>Nữ</x:v>
      </x:c>
      <x:c r="C13" s="14" t="n">
        <x:v>18</x:v>
      </x:c>
      <x:c r="D13" s="14" t="n">
        <x:v>23</x:v>
      </x:c>
      <x:c r="E13" s="14" t="n">
        <x:v>17</x:v>
      </x:c>
      <x:c r="F13" s="14" t="n">
        <x:f>SUM(C13:E13)</x:f>
        <x:v>58</x:v>
      </x:c>
      <x:c r="G13" s="14" t="n">
        <x:f>F13*$K$2</x:f>
        <x:v>66.69999999999999</x:v>
      </x:c>
      <x:c r="H13" s="15" t="str">
        <x:f>IF(G13&gt;$K$3,"NG","OK")</x:f>
        <x:v>NG</x:v>
      </x:c>
    </x:row>
    <x:row r="14">
      <x:c r="A14" s="13" t="str">
        <x:v>C</x:v>
      </x:c>
      <x:c r="B14" s="14" t="str">
        <x:v>Nam</x:v>
      </x:c>
      <x:c r="C14" s="14" t="n">
        <x:v>20</x:v>
      </x:c>
      <x:c r="D14" s="14" t="n">
        <x:v>26</x:v>
      </x:c>
      <x:c r="E14" s="14" t="n">
        <x:v>5</x:v>
      </x:c>
      <x:c r="F14" s="14" t="n">
        <x:f>SUM(C14:E14)</x:f>
        <x:v>51</x:v>
      </x:c>
      <x:c r="G14" s="14" t="n">
        <x:f>F14*$K$2</x:f>
        <x:v>58.65</x:v>
      </x:c>
      <x:c r="H14" s="15" t="str">
        <x:f>IF(G14&gt;$K$3,"NG","OK")</x:f>
        <x:v>NG</x:v>
      </x:c>
    </x:row>
    <x:row r="15">
      <x:c r="A15" s="13" t="str">
        <x:v>A</x:v>
      </x:c>
      <x:c r="B15" s="14" t="str">
        <x:v>Nữ</x:v>
      </x:c>
      <x:c r="C15" s="14" t="n">
        <x:v>22</x:v>
      </x:c>
      <x:c r="D15" s="14" t="n">
        <x:v>29</x:v>
      </x:c>
      <x:c r="E15" s="14" t="n">
        <x:v>9</x:v>
      </x:c>
      <x:c r="F15" s="14" t="n">
        <x:f>SUM(C15:E15)</x:f>
        <x:v>60</x:v>
      </x:c>
      <x:c r="G15" s="14" t="n">
        <x:f>F15*$K$2</x:f>
        <x:v>69</x:v>
      </x:c>
      <x:c r="H15" s="15" t="str">
        <x:f>IF(G15&gt;$K$3,"NG","OK")</x:f>
        <x:v>NG</x:v>
      </x:c>
    </x:row>
    <x:row r="16">
      <x:c r="A16" s="13" t="str">
        <x:v>B</x:v>
      </x:c>
      <x:c r="B16" s="14" t="str">
        <x:v>Nam</x:v>
      </x:c>
      <x:c r="C16" s="14" t="n">
        <x:v>10</x:v>
      </x:c>
      <x:c r="D16" s="14" t="n">
        <x:v>32</x:v>
      </x:c>
      <x:c r="E16" s="14" t="n">
        <x:v>13</x:v>
      </x:c>
      <x:c r="F16" s="14" t="n">
        <x:f>SUM(C16:E16)</x:f>
        <x:v>55</x:v>
      </x:c>
      <x:c r="G16" s="14" t="n">
        <x:f>F16*$K$2</x:f>
        <x:v>63.24999999999999</x:v>
      </x:c>
      <x:c r="H16" s="15" t="str">
        <x:f>IF(G16&gt;$K$3,"NG","OK")</x:f>
        <x:v>NG</x:v>
      </x:c>
    </x:row>
    <x:row r="17">
      <x:c r="A17" s="13" t="str">
        <x:v>A</x:v>
      </x:c>
      <x:c r="B17" s="14" t="str">
        <x:v>Nữ</x:v>
      </x:c>
      <x:c r="C17" s="14" t="n">
        <x:v>12</x:v>
      </x:c>
      <x:c r="D17" s="14" t="n">
        <x:v>20</x:v>
      </x:c>
      <x:c r="E17" s="14" t="n">
        <x:v>17</x:v>
      </x:c>
      <x:c r="F17" s="14" t="n">
        <x:f>SUM(C17:E17)</x:f>
        <x:v>49</x:v>
      </x:c>
      <x:c r="G17" s="14" t="n">
        <x:f>F17*$K$2</x:f>
        <x:v>56.349999999999994</x:v>
      </x:c>
      <x:c r="H17" s="15" t="str">
        <x:f>IF(G17&gt;$K$3,"NG","OK")</x:f>
        <x:v>NG</x:v>
      </x:c>
    </x:row>
    <x:row r="18">
      <x:c r="A18" s="13" t="str">
        <x:v>B</x:v>
      </x:c>
      <x:c r="B18" s="14" t="str">
        <x:v>Nam</x:v>
      </x:c>
      <x:c r="C18" s="14" t="n">
        <x:v>14</x:v>
      </x:c>
      <x:c r="D18" s="14" t="n">
        <x:v>23</x:v>
      </x:c>
      <x:c r="E18" s="14" t="n">
        <x:v>5</x:v>
      </x:c>
      <x:c r="F18" s="14" t="n">
        <x:f>SUM(C18:E18)</x:f>
        <x:v>42</x:v>
      </x:c>
      <x:c r="G18" s="14" t="n">
        <x:f>F18*$K$2</x:f>
        <x:v>48.3</x:v>
      </x:c>
      <x:c r="H18" s="15" t="str">
        <x:f>IF(G18&gt;$K$3,"NG","OK")</x:f>
        <x:v>OK</x:v>
      </x:c>
    </x:row>
    <x:row r="19">
      <x:c r="A19" s="13" t="str">
        <x:v>C</x:v>
      </x:c>
      <x:c r="B19" s="14" t="str">
        <x:v>Nữ</x:v>
      </x:c>
      <x:c r="C19" s="14" t="n">
        <x:v>16</x:v>
      </x:c>
      <x:c r="D19" s="14" t="n">
        <x:v>26</x:v>
      </x:c>
      <x:c r="E19" s="14" t="n">
        <x:v>9</x:v>
      </x:c>
      <x:c r="F19" s="14" t="n">
        <x:f>SUM(C19:E19)</x:f>
        <x:v>51</x:v>
      </x:c>
      <x:c r="G19" s="14" t="n">
        <x:f>F19*$K$2</x:f>
        <x:v>58.65</x:v>
      </x:c>
      <x:c r="H19" s="15" t="str">
        <x:f>IF(G19&gt;$K$3,"NG","OK")</x:f>
        <x:v>NG</x:v>
      </x:c>
    </x:row>
    <x:row r="20">
      <x:c r="A20" s="13" t="str">
        <x:v>A</x:v>
      </x:c>
      <x:c r="B20" s="14" t="str">
        <x:v>Nam</x:v>
      </x:c>
      <x:c r="C20" s="14" t="n">
        <x:v>18</x:v>
      </x:c>
      <x:c r="D20" s="14" t="n">
        <x:v>29</x:v>
      </x:c>
      <x:c r="E20" s="14" t="n">
        <x:v>13</x:v>
      </x:c>
      <x:c r="F20" s="14" t="n">
        <x:f>SUM(C20:E20)</x:f>
        <x:v>60</x:v>
      </x:c>
      <x:c r="G20" s="14" t="n">
        <x:f>F20*$K$2</x:f>
        <x:v>69</x:v>
      </x:c>
      <x:c r="H20" s="15" t="str">
        <x:f>IF(G20&gt;$K$3,"NG","OK")</x:f>
        <x:v>NG</x:v>
      </x:c>
    </x:row>
    <x:row r="21">
      <x:c r="A21" s="13" t="str">
        <x:v>B</x:v>
      </x:c>
      <x:c r="B21" s="14" t="str">
        <x:v>Nữ</x:v>
      </x:c>
      <x:c r="C21" s="14" t="n">
        <x:v>20</x:v>
      </x:c>
      <x:c r="D21" s="14" t="n">
        <x:v>32</x:v>
      </x:c>
      <x:c r="E21" s="14" t="n">
        <x:v>17</x:v>
      </x:c>
      <x:c r="F21" s="14" t="n">
        <x:f>SUM(C21:E21)</x:f>
        <x:v>69</x:v>
      </x:c>
      <x:c r="G21" s="14" t="n">
        <x:f>F21*$K$2</x:f>
        <x:v>79.35</x:v>
      </x:c>
      <x:c r="H21" s="15" t="str">
        <x:f>IF(G21&gt;$K$3,"NG","OK")</x:f>
        <x:v>NG</x:v>
      </x:c>
    </x:row>
    <x:row r="22">
      <x:c r="A22" s="13" t="str">
        <x:v>A</x:v>
      </x:c>
      <x:c r="B22" s="14" t="str">
        <x:v>Nam</x:v>
      </x:c>
      <x:c r="C22" s="14" t="n">
        <x:v>22</x:v>
      </x:c>
      <x:c r="D22" s="14" t="n">
        <x:v>20</x:v>
      </x:c>
      <x:c r="E22" s="14" t="n">
        <x:v>5</x:v>
      </x:c>
      <x:c r="F22" s="14" t="n">
        <x:f>SUM(C22:E22)</x:f>
        <x:v>47</x:v>
      </x:c>
      <x:c r="G22" s="14" t="n">
        <x:f>F22*$K$2</x:f>
        <x:v>54.05</x:v>
      </x:c>
      <x:c r="H22" s="15" t="str">
        <x:f>IF(G22&gt;$K$3,"NG","OK")</x:f>
        <x:v>OK</x:v>
      </x:c>
    </x:row>
    <x:row r="23">
      <x:c r="A23" s="13" t="str">
        <x:v>B</x:v>
      </x:c>
      <x:c r="B23" s="14" t="str">
        <x:v>Nữ</x:v>
      </x:c>
      <x:c r="C23" s="14" t="n">
        <x:v>10</x:v>
      </x:c>
      <x:c r="D23" s="14" t="n">
        <x:v>23</x:v>
      </x:c>
      <x:c r="E23" s="14" t="n">
        <x:v>9</x:v>
      </x:c>
      <x:c r="F23" s="14" t="n">
        <x:f>SUM(C23:E23)</x:f>
        <x:v>42</x:v>
      </x:c>
      <x:c r="G23" s="14" t="n">
        <x:f>F23*$K$2</x:f>
        <x:v>48.3</x:v>
      </x:c>
      <x:c r="H23" s="15" t="str">
        <x:f>IF(G23&gt;$K$3,"NG","OK")</x:f>
        <x:v>OK</x:v>
      </x:c>
    </x:row>
    <x:row r="24">
      <x:c r="A24" s="13" t="str">
        <x:v>C</x:v>
      </x:c>
      <x:c r="B24" s="14" t="str">
        <x:v>Nam</x:v>
      </x:c>
      <x:c r="C24" s="14" t="n">
        <x:v>12</x:v>
      </x:c>
      <x:c r="D24" s="14" t="n">
        <x:v>26</x:v>
      </x:c>
      <x:c r="E24" s="14" t="n">
        <x:v>13</x:v>
      </x:c>
      <x:c r="F24" s="14" t="n">
        <x:f>SUM(C24:E24)</x:f>
        <x:v>51</x:v>
      </x:c>
      <x:c r="G24" s="14" t="n">
        <x:f>F24*$K$2</x:f>
        <x:v>58.65</x:v>
      </x:c>
      <x:c r="H24" s="15" t="str">
        <x:f>IF(G24&gt;$K$3,"NG","OK")</x:f>
        <x:v>NG</x:v>
      </x:c>
    </x:row>
    <x:row r="25">
      <x:c r="A25" s="13" t="str">
        <x:v>A</x:v>
      </x:c>
      <x:c r="B25" s="14" t="str">
        <x:v>Nữ</x:v>
      </x:c>
      <x:c r="C25" s="14" t="n">
        <x:v>14</x:v>
      </x:c>
      <x:c r="D25" s="14" t="n">
        <x:v>29</x:v>
      </x:c>
      <x:c r="E25" s="14" t="n">
        <x:v>17</x:v>
      </x:c>
      <x:c r="F25" s="14" t="n">
        <x:f>SUM(C25:E25)</x:f>
        <x:v>60</x:v>
      </x:c>
      <x:c r="G25" s="14" t="n">
        <x:f>F25*$K$2</x:f>
        <x:v>69</x:v>
      </x:c>
      <x:c r="H25" s="15" t="str">
        <x:f>IF(G25&gt;$K$3,"NG","OK")</x:f>
        <x:v>NG</x:v>
      </x:c>
    </x:row>
    <x:row r="26">
      <x:c r="A26" s="13" t="str">
        <x:v>B</x:v>
      </x:c>
      <x:c r="B26" s="14" t="str">
        <x:v>Nam</x:v>
      </x:c>
      <x:c r="C26" s="14" t="n">
        <x:v>16</x:v>
      </x:c>
      <x:c r="D26" s="14" t="n">
        <x:v>32</x:v>
      </x:c>
      <x:c r="E26" s="14" t="n">
        <x:v>5</x:v>
      </x:c>
      <x:c r="F26" s="14" t="n">
        <x:f>SUM(C26:E26)</x:f>
        <x:v>53</x:v>
      </x:c>
      <x:c r="G26" s="14" t="n">
        <x:f>F26*$K$2</x:f>
        <x:v>60.949999999999996</x:v>
      </x:c>
      <x:c r="H26" s="15" t="str">
        <x:f>IF(G26&gt;$K$3,"NG","OK")</x:f>
        <x:v>NG</x:v>
      </x:c>
    </x:row>
    <x:row r="27">
      <x:c r="A27" s="13" t="str">
        <x:v>A</x:v>
      </x:c>
      <x:c r="B27" s="14" t="str">
        <x:v>Nữ</x:v>
      </x:c>
      <x:c r="C27" s="14" t="n">
        <x:v>18</x:v>
      </x:c>
      <x:c r="D27" s="14" t="n">
        <x:v>20</x:v>
      </x:c>
      <x:c r="E27" s="14" t="n">
        <x:v>9</x:v>
      </x:c>
      <x:c r="F27" s="14" t="n">
        <x:f>SUM(C27:E27)</x:f>
        <x:v>47</x:v>
      </x:c>
      <x:c r="G27" s="14" t="n">
        <x:f>F27*$K$2</x:f>
        <x:v>54.05</x:v>
      </x:c>
      <x:c r="H27" s="15" t="str">
        <x:f>IF(G27&gt;$K$3,"NG","OK")</x:f>
        <x:v>OK</x:v>
      </x:c>
    </x:row>
    <x:row r="28">
      <x:c r="A28" s="13" t="str">
        <x:v>B</x:v>
      </x:c>
      <x:c r="B28" s="14" t="str">
        <x:v>Nam</x:v>
      </x:c>
      <x:c r="C28" s="14" t="n">
        <x:v>20</x:v>
      </x:c>
      <x:c r="D28" s="14" t="n">
        <x:v>23</x:v>
      </x:c>
      <x:c r="E28" s="14" t="n">
        <x:v>13</x:v>
      </x:c>
      <x:c r="F28" s="14" t="n">
        <x:f>SUM(C28:E28)</x:f>
        <x:v>56</x:v>
      </x:c>
      <x:c r="G28" s="14" t="n">
        <x:f>F28*$K$2</x:f>
        <x:v>64.39999999999999</x:v>
      </x:c>
      <x:c r="H28" s="15" t="str">
        <x:f>IF(G28&gt;$K$3,"NG","OK")</x:f>
        <x:v>NG</x:v>
      </x:c>
    </x:row>
    <x:row r="29">
      <x:c r="A29" s="13" t="str">
        <x:v>C</x:v>
      </x:c>
      <x:c r="B29" s="14" t="str">
        <x:v>Nữ</x:v>
      </x:c>
      <x:c r="C29" s="14" t="n">
        <x:v>22</x:v>
      </x:c>
      <x:c r="D29" s="14" t="n">
        <x:v>26</x:v>
      </x:c>
      <x:c r="E29" s="14" t="n">
        <x:v>17</x:v>
      </x:c>
      <x:c r="F29" s="14" t="n">
        <x:f>SUM(C29:E29)</x:f>
        <x:v>65</x:v>
      </x:c>
      <x:c r="G29" s="14" t="n">
        <x:f>F29*$K$2</x:f>
        <x:v>74.75</x:v>
      </x:c>
      <x:c r="H29" s="15" t="str">
        <x:f>IF(G29&gt;$K$3,"NG","OK")</x:f>
        <x:v>NG</x:v>
      </x:c>
    </x:row>
    <x:row r="30">
      <x:c r="A30" s="13" t="str">
        <x:v>A</x:v>
      </x:c>
      <x:c r="B30" s="14" t="str">
        <x:v>Nam</x:v>
      </x:c>
      <x:c r="C30" s="14" t="n">
        <x:v>10</x:v>
      </x:c>
      <x:c r="D30" s="14" t="n">
        <x:v>29</x:v>
      </x:c>
      <x:c r="E30" s="14" t="n">
        <x:v>5</x:v>
      </x:c>
      <x:c r="F30" s="14" t="n">
        <x:f>SUM(C30:E30)</x:f>
        <x:v>44</x:v>
      </x:c>
      <x:c r="G30" s="14" t="n">
        <x:f>F30*$K$2</x:f>
        <x:v>50.599999999999994</x:v>
      </x:c>
      <x:c r="H30" s="15" t="str">
        <x:f>IF(G30&gt;$K$3,"NG","OK")</x:f>
        <x:v>OK</x:v>
      </x:c>
    </x:row>
    <x:row r="31">
      <x:c r="A31" s="13" t="str">
        <x:v>B</x:v>
      </x:c>
      <x:c r="B31" s="14" t="str">
        <x:v>Nữ</x:v>
      </x:c>
      <x:c r="C31" s="14" t="n">
        <x:v>12</x:v>
      </x:c>
      <x:c r="D31" s="14" t="n">
        <x:v>32</x:v>
      </x:c>
      <x:c r="E31" s="14" t="n">
        <x:v>9</x:v>
      </x:c>
      <x:c r="F31" s="14" t="n">
        <x:f>SUM(C31:E31)</x:f>
        <x:v>53</x:v>
      </x:c>
      <x:c r="G31" s="14" t="n">
        <x:f>F31*$K$2</x:f>
        <x:v>60.949999999999996</x:v>
      </x:c>
      <x:c r="H31" s="15" t="str">
        <x:f>IF(G31&gt;$K$3,"NG","OK")</x:f>
        <x:v>NG</x:v>
      </x:c>
    </x:row>
    <x:row r="32">
      <x:c r="A32" s="13" t="str">
        <x:v>A</x:v>
      </x:c>
      <x:c r="B32" s="14" t="str">
        <x:v>Nam</x:v>
      </x:c>
      <x:c r="C32" s="14" t="n">
        <x:v>14</x:v>
      </x:c>
      <x:c r="D32" s="14" t="n">
        <x:v>20</x:v>
      </x:c>
      <x:c r="E32" s="14" t="n">
        <x:v>13</x:v>
      </x:c>
      <x:c r="F32" s="14" t="n">
        <x:f>SUM(C32:E32)</x:f>
        <x:v>47</x:v>
      </x:c>
      <x:c r="G32" s="14" t="n">
        <x:f>F32*$K$2</x:f>
        <x:v>54.05</x:v>
      </x:c>
      <x:c r="H32" s="15" t="str">
        <x:f>IF(G32&gt;$K$3,"NG","OK")</x:f>
        <x:v>OK</x:v>
      </x:c>
    </x:row>
    <x:row r="33">
      <x:c r="A33" s="13" t="str">
        <x:v>B</x:v>
      </x:c>
      <x:c r="B33" s="14" t="str">
        <x:v>Nữ</x:v>
      </x:c>
      <x:c r="C33" s="14" t="n">
        <x:v>16</x:v>
      </x:c>
      <x:c r="D33" s="14" t="n">
        <x:v>23</x:v>
      </x:c>
      <x:c r="E33" s="14" t="n">
        <x:v>17</x:v>
      </x:c>
      <x:c r="F33" s="14" t="n">
        <x:f>SUM(C33:E33)</x:f>
        <x:v>56</x:v>
      </x:c>
      <x:c r="G33" s="14" t="n">
        <x:f>F33*$K$2</x:f>
        <x:v>64.39999999999999</x:v>
      </x:c>
      <x:c r="H33" s="15" t="str">
        <x:f>IF(G33&gt;$K$3,"NG","OK")</x:f>
        <x:v>NG</x:v>
      </x:c>
    </x:row>
    <x:row r="34">
      <x:c r="A34" s="13" t="str">
        <x:v>C</x:v>
      </x:c>
      <x:c r="B34" s="14" t="str">
        <x:v>Nam</x:v>
      </x:c>
      <x:c r="C34" s="14" t="n">
        <x:v>18</x:v>
      </x:c>
      <x:c r="D34" s="14" t="n">
        <x:v>26</x:v>
      </x:c>
      <x:c r="E34" s="14" t="n">
        <x:v>5</x:v>
      </x:c>
      <x:c r="F34" s="14" t="n">
        <x:f>SUM(C34:E34)</x:f>
        <x:v>49</x:v>
      </x:c>
      <x:c r="G34" s="14" t="n">
        <x:f>F34*$K$2</x:f>
        <x:v>56.349999999999994</x:v>
      </x:c>
      <x:c r="H34" s="15" t="str">
        <x:f>IF(G34&gt;$K$3,"NG","OK")</x:f>
        <x:v>NG</x:v>
      </x:c>
    </x:row>
    <x:row r="35">
      <x:c r="A35" s="13" t="str">
        <x:v>A</x:v>
      </x:c>
      <x:c r="B35" s="14" t="str">
        <x:v>Nữ</x:v>
      </x:c>
      <x:c r="C35" s="14" t="n">
        <x:v>20</x:v>
      </x:c>
      <x:c r="D35" s="14" t="n">
        <x:v>29</x:v>
      </x:c>
      <x:c r="E35" s="14" t="n">
        <x:v>9</x:v>
      </x:c>
      <x:c r="F35" s="14" t="n">
        <x:f>SUM(C35:E35)</x:f>
        <x:v>58</x:v>
      </x:c>
      <x:c r="G35" s="14" t="n">
        <x:f>F35*$K$2</x:f>
        <x:v>66.69999999999999</x:v>
      </x:c>
      <x:c r="H35" s="15" t="str">
        <x:f>IF(G35&gt;$K$3,"NG","OK")</x:f>
        <x:v>NG</x:v>
      </x:c>
    </x:row>
    <x:row r="36">
      <x:c r="A36" s="13" t="str">
        <x:v>B</x:v>
      </x:c>
      <x:c r="B36" s="14" t="str">
        <x:v>Nam</x:v>
      </x:c>
      <x:c r="C36" s="14" t="n">
        <x:v>22</x:v>
      </x:c>
      <x:c r="D36" s="14" t="n">
        <x:v>32</x:v>
      </x:c>
      <x:c r="E36" s="14" t="n">
        <x:v>13</x:v>
      </x:c>
      <x:c r="F36" s="14" t="n">
        <x:f>SUM(C36:E36)</x:f>
        <x:v>67</x:v>
      </x:c>
      <x:c r="G36" s="14" t="n">
        <x:f>F36*$K$2</x:f>
        <x:v>77.05</x:v>
      </x:c>
      <x:c r="H36" s="15" t="str">
        <x:f>IF(G36&gt;$K$3,"NG","OK")</x:f>
        <x:v>NG</x:v>
      </x:c>
    </x:row>
    <x:row r="37">
      <x:c r="A37" s="13" t="str">
        <x:v>A</x:v>
      </x:c>
      <x:c r="B37" s="14" t="str">
        <x:v>Nữ</x:v>
      </x:c>
      <x:c r="C37" s="14" t="n">
        <x:v>10</x:v>
      </x:c>
      <x:c r="D37" s="14" t="n">
        <x:v>20</x:v>
      </x:c>
      <x:c r="E37" s="14" t="n">
        <x:v>17</x:v>
      </x:c>
      <x:c r="F37" s="14" t="n">
        <x:f>SUM(C37:E37)</x:f>
        <x:v>47</x:v>
      </x:c>
      <x:c r="G37" s="14" t="n">
        <x:f>F37*$K$2</x:f>
        <x:v>54.05</x:v>
      </x:c>
      <x:c r="H37" s="15" t="str">
        <x:f>IF(G37&gt;$K$3,"NG","OK")</x:f>
        <x:v>OK</x:v>
      </x:c>
    </x:row>
    <x:row r="38">
      <x:c r="A38" s="13" t="str">
        <x:v>B</x:v>
      </x:c>
      <x:c r="B38" s="14" t="str">
        <x:v>Nam</x:v>
      </x:c>
      <x:c r="C38" s="14" t="n">
        <x:v>12</x:v>
      </x:c>
      <x:c r="D38" s="14" t="n">
        <x:v>23</x:v>
      </x:c>
      <x:c r="E38" s="14" t="n">
        <x:v>5</x:v>
      </x:c>
      <x:c r="F38" s="14" t="n">
        <x:f>SUM(C38:E38)</x:f>
        <x:v>40</x:v>
      </x:c>
      <x:c r="G38" s="14" t="n">
        <x:f>F38*$K$2</x:f>
        <x:v>46</x:v>
      </x:c>
      <x:c r="H38" s="15" t="str">
        <x:f>IF(G38&gt;$K$3,"NG","OK")</x:f>
        <x:v>OK</x:v>
      </x:c>
    </x:row>
    <x:row r="39">
      <x:c r="A39" s="13" t="str">
        <x:v>C</x:v>
      </x:c>
      <x:c r="B39" s="14" t="str">
        <x:v>Nữ</x:v>
      </x:c>
      <x:c r="C39" s="14" t="n">
        <x:v>14</x:v>
      </x:c>
      <x:c r="D39" s="14" t="n">
        <x:v>26</x:v>
      </x:c>
      <x:c r="E39" s="14" t="n">
        <x:v>9</x:v>
      </x:c>
      <x:c r="F39" s="14" t="n">
        <x:f>SUM(C39:E39)</x:f>
        <x:v>49</x:v>
      </x:c>
      <x:c r="G39" s="14" t="n">
        <x:f>F39*$K$2</x:f>
        <x:v>56.349999999999994</x:v>
      </x:c>
      <x:c r="H39" s="15" t="str">
        <x:f>IF(G39&gt;$K$3,"NG","OK")</x:f>
        <x:v>NG</x:v>
      </x:c>
    </x:row>
    <x:row r="40">
      <x:c r="A40" s="13" t="str">
        <x:v>A</x:v>
      </x:c>
      <x:c r="B40" s="14" t="str">
        <x:v>Nam</x:v>
      </x:c>
      <x:c r="C40" s="14" t="n">
        <x:v>16</x:v>
      </x:c>
      <x:c r="D40" s="14" t="n">
        <x:v>29</x:v>
      </x:c>
      <x:c r="E40" s="14" t="n">
        <x:v>13</x:v>
      </x:c>
      <x:c r="F40" s="14" t="n">
        <x:f>SUM(C40:E40)</x:f>
        <x:v>58</x:v>
      </x:c>
      <x:c r="G40" s="14" t="n">
        <x:f>F40*$K$2</x:f>
        <x:v>66.69999999999999</x:v>
      </x:c>
      <x:c r="H40" s="15" t="str">
        <x:f>IF(G40&gt;$K$3,"NG","OK")</x:f>
        <x:v>NG</x:v>
      </x:c>
    </x:row>
    <x:row r="41">
      <x:c r="A41" s="13" t="str">
        <x:v>B</x:v>
      </x:c>
      <x:c r="B41" s="14" t="str">
        <x:v>Nữ</x:v>
      </x:c>
      <x:c r="C41" s="14" t="n">
        <x:v>18</x:v>
      </x:c>
      <x:c r="D41" s="14" t="n">
        <x:v>32</x:v>
      </x:c>
      <x:c r="E41" s="14" t="n">
        <x:v>17</x:v>
      </x:c>
      <x:c r="F41" s="14" t="n">
        <x:f>SUM(C41:E41)</x:f>
        <x:v>67</x:v>
      </x:c>
      <x:c r="G41" s="14" t="n">
        <x:f>F41*$K$2</x:f>
        <x:v>77.05</x:v>
      </x:c>
      <x:c r="H41" s="15" t="str">
        <x:f>IF(G41&gt;$K$3,"NG","OK")</x:f>
        <x:v>NG</x:v>
      </x:c>
    </x:row>
    <x:row r="42">
      <x:c r="A42" s="13" t="str">
        <x:v>A</x:v>
      </x:c>
      <x:c r="B42" s="14" t="str">
        <x:v>Nam</x:v>
      </x:c>
      <x:c r="C42" s="14" t="n">
        <x:v>20</x:v>
      </x:c>
      <x:c r="D42" s="14" t="n">
        <x:v>20</x:v>
      </x:c>
      <x:c r="E42" s="14" t="n">
        <x:v>5</x:v>
      </x:c>
      <x:c r="F42" s="14" t="n">
        <x:f>SUM(C42:E42)</x:f>
        <x:v>45</x:v>
      </x:c>
      <x:c r="G42" s="14" t="n">
        <x:f>F42*$K$2</x:f>
        <x:v>51.74999999999999</x:v>
      </x:c>
      <x:c r="H42" s="15" t="str">
        <x:f>IF(G42&gt;$K$3,"NG","OK")</x:f>
        <x:v>OK</x:v>
      </x:c>
    </x:row>
    <x:row r="43">
      <x:c r="A43" s="13" t="str">
        <x:v>B</x:v>
      </x:c>
      <x:c r="B43" s="14" t="str">
        <x:v>Nữ</x:v>
      </x:c>
      <x:c r="C43" s="14" t="n">
        <x:v>22</x:v>
      </x:c>
      <x:c r="D43" s="14" t="n">
        <x:v>23</x:v>
      </x:c>
      <x:c r="E43" s="14" t="n">
        <x:v>9</x:v>
      </x:c>
      <x:c r="F43" s="14" t="n">
        <x:f>SUM(C43:E43)</x:f>
        <x:v>54</x:v>
      </x:c>
      <x:c r="G43" s="14" t="n">
        <x:f>F43*$K$2</x:f>
        <x:v>62.099999999999994</x:v>
      </x:c>
      <x:c r="H43" s="15" t="str">
        <x:f>IF(G43&gt;$K$3,"NG","OK")</x:f>
        <x:v>NG</x:v>
      </x:c>
    </x:row>
    <x:row r="44">
      <x:c r="A44" s="13" t="str">
        <x:v>C</x:v>
      </x:c>
      <x:c r="B44" s="14" t="str">
        <x:v>Nam</x:v>
      </x:c>
      <x:c r="C44" s="14" t="n">
        <x:v>10</x:v>
      </x:c>
      <x:c r="D44" s="14" t="n">
        <x:v>26</x:v>
      </x:c>
      <x:c r="E44" s="14" t="n">
        <x:v>13</x:v>
      </x:c>
      <x:c r="F44" s="14" t="n">
        <x:f>SUM(C44:E44)</x:f>
        <x:v>49</x:v>
      </x:c>
      <x:c r="G44" s="14" t="n">
        <x:f>F44*$K$2</x:f>
        <x:v>56.349999999999994</x:v>
      </x:c>
      <x:c r="H44" s="15" t="str">
        <x:f>IF(G44&gt;$K$3,"NG","OK")</x:f>
        <x:v>NG</x:v>
      </x:c>
    </x:row>
    <x:row r="45">
      <x:c r="A45" s="13" t="str">
        <x:v>A</x:v>
      </x:c>
      <x:c r="B45" s="14" t="str">
        <x:v>Nữ</x:v>
      </x:c>
      <x:c r="C45" s="14" t="n">
        <x:v>12</x:v>
      </x:c>
      <x:c r="D45" s="14" t="n">
        <x:v>29</x:v>
      </x:c>
      <x:c r="E45" s="14" t="n">
        <x:v>17</x:v>
      </x:c>
      <x:c r="F45" s="14" t="n">
        <x:f>SUM(C45:E45)</x:f>
        <x:v>58</x:v>
      </x:c>
      <x:c r="G45" s="14" t="n">
        <x:f>F45*$K$2</x:f>
        <x:v>66.69999999999999</x:v>
      </x:c>
      <x:c r="H45" s="15" t="str">
        <x:f>IF(G45&gt;$K$3,"NG","OK")</x:f>
        <x:v>NG</x:v>
      </x:c>
    </x:row>
    <x:row r="46">
      <x:c r="A46" s="13" t="str">
        <x:v>B</x:v>
      </x:c>
      <x:c r="B46" s="14" t="str">
        <x:v>Nam</x:v>
      </x:c>
      <x:c r="C46" s="14" t="n">
        <x:v>14</x:v>
      </x:c>
      <x:c r="D46" s="14" t="n">
        <x:v>32</x:v>
      </x:c>
      <x:c r="E46" s="14" t="n">
        <x:v>5</x:v>
      </x:c>
      <x:c r="F46" s="14" t="n">
        <x:f>SUM(C46:E46)</x:f>
        <x:v>51</x:v>
      </x:c>
      <x:c r="G46" s="14" t="n">
        <x:f>F46*$K$2</x:f>
        <x:v>58.65</x:v>
      </x:c>
      <x:c r="H46" s="15" t="str">
        <x:f>IF(G46&gt;$K$3,"NG","OK")</x:f>
        <x:v>NG</x:v>
      </x:c>
    </x:row>
    <x:row r="47">
      <x:c r="A47" s="13" t="str">
        <x:v>A</x:v>
      </x:c>
      <x:c r="B47" s="14" t="str">
        <x:v>Nữ</x:v>
      </x:c>
      <x:c r="C47" s="14" t="n">
        <x:v>16</x:v>
      </x:c>
      <x:c r="D47" s="14" t="n">
        <x:v>20</x:v>
      </x:c>
      <x:c r="E47" s="14" t="n">
        <x:v>9</x:v>
      </x:c>
      <x:c r="F47" s="14" t="n">
        <x:f>SUM(C47:E47)</x:f>
        <x:v>45</x:v>
      </x:c>
      <x:c r="G47" s="14" t="n">
        <x:f>F47*$K$2</x:f>
        <x:v>51.74999999999999</x:v>
      </x:c>
      <x:c r="H47" s="15" t="str">
        <x:f>IF(G47&gt;$K$3,"NG","OK")</x:f>
        <x:v>OK</x:v>
      </x:c>
    </x:row>
    <x:row r="48">
      <x:c r="A48" s="13" t="str">
        <x:v>B</x:v>
      </x:c>
      <x:c r="B48" s="14" t="str">
        <x:v>Nam</x:v>
      </x:c>
      <x:c r="C48" s="14" t="n">
        <x:v>18</x:v>
      </x:c>
      <x:c r="D48" s="14" t="n">
        <x:v>23</x:v>
      </x:c>
      <x:c r="E48" s="14" t="n">
        <x:v>13</x:v>
      </x:c>
      <x:c r="F48" s="14" t="n">
        <x:f>SUM(C48:E48)</x:f>
        <x:v>54</x:v>
      </x:c>
      <x:c r="G48" s="14" t="n">
        <x:f>F48*$K$2</x:f>
        <x:v>62.099999999999994</x:v>
      </x:c>
      <x:c r="H48" s="15" t="str">
        <x:f>IF(G48&gt;$K$3,"NG","OK")</x:f>
        <x:v>NG</x:v>
      </x:c>
    </x:row>
    <x:row r="49">
      <x:c r="A49" s="13" t="str">
        <x:v>C</x:v>
      </x:c>
      <x:c r="B49" s="14" t="str">
        <x:v>Nữ</x:v>
      </x:c>
      <x:c r="C49" s="14" t="n">
        <x:v>20</x:v>
      </x:c>
      <x:c r="D49" s="14" t="n">
        <x:v>26</x:v>
      </x:c>
      <x:c r="E49" s="14" t="n">
        <x:v>17</x:v>
      </x:c>
      <x:c r="F49" s="14" t="n">
        <x:f>SUM(C49:E49)</x:f>
        <x:v>63</x:v>
      </x:c>
      <x:c r="G49" s="14" t="n">
        <x:f>F49*$K$2</x:f>
        <x:v>72.44999999999999</x:v>
      </x:c>
      <x:c r="H49" s="15" t="str">
        <x:f>IF(G49&gt;$K$3,"NG","OK")</x:f>
        <x:v>NG</x:v>
      </x:c>
    </x:row>
    <x:row r="50">
      <x:c r="A50" s="13" t="str">
        <x:v>A</x:v>
      </x:c>
      <x:c r="B50" s="14" t="str">
        <x:v>Nam</x:v>
      </x:c>
      <x:c r="C50" s="14" t="n">
        <x:v>22</x:v>
      </x:c>
      <x:c r="D50" s="14" t="n">
        <x:v>29</x:v>
      </x:c>
      <x:c r="E50" s="14" t="n">
        <x:v>5</x:v>
      </x:c>
      <x:c r="F50" s="14" t="n">
        <x:f>SUM(C50:E50)</x:f>
        <x:v>56</x:v>
      </x:c>
      <x:c r="G50" s="14" t="n">
        <x:f>F50*$K$2</x:f>
        <x:v>64.39999999999999</x:v>
      </x:c>
      <x:c r="H50" s="15" t="str">
        <x:f>IF(G50&gt;$K$3,"NG","OK")</x:f>
        <x:v>NG</x:v>
      </x:c>
    </x:row>
    <x:row r="51">
      <x:c r="A51" s="13" t="str">
        <x:v>B</x:v>
      </x:c>
      <x:c r="B51" s="14" t="str">
        <x:v>Nữ</x:v>
      </x:c>
      <x:c r="C51" s="14" t="n">
        <x:v>10</x:v>
      </x:c>
      <x:c r="D51" s="14" t="n">
        <x:v>32</x:v>
      </x:c>
      <x:c r="E51" s="14" t="n">
        <x:v>9</x:v>
      </x:c>
      <x:c r="F51" s="14" t="n">
        <x:f>SUM(C51:E51)</x:f>
        <x:v>51</x:v>
      </x:c>
      <x:c r="G51" s="14" t="n">
        <x:f>F51*$K$2</x:f>
        <x:v>58.65</x:v>
      </x:c>
      <x:c r="H51" s="15" t="str">
        <x:f>IF(G51&gt;$K$3,"NG","OK")</x:f>
        <x:v>NG</x:v>
      </x:c>
    </x:row>
    <x:row r="52">
      <x:c r="A52" s="13"/>
      <x:c r="B52" s="14"/>
      <x:c r="C52" s="14"/>
      <x:c r="D52" s="14"/>
      <x:c r="E52" s="14" t="str">
        <x:v>Footer summary</x:v>
      </x:c>
      <x:c r="F52" s="32" t="n">
        <x:f>SUM(F2:F51)</x:f>
        <x:v>2636</x:v>
      </x:c>
      <x:c r="G52" s="32" t="n">
        <x:f>AVERAGE(G2:G51)</x:f>
        <x:v>60.62799999999999</x:v>
      </x:c>
      <x:c r="H52" s="33" t="n">
        <x:f>COUNTIF(H2:H51,"NG")</x:f>
        <x:v>37</x:v>
      </x:c>
    </x:row>
    <x:row r="53">
      <x:c r="A53" s="16"/>
      <x:c r="B53" s="17"/>
      <x:c r="C53" s="17"/>
      <x:c r="D53" s="17"/>
      <x:c r="E53" s="17" t="str"/>
      <x:c r="F53" s="42" t="str">
        <x:v>Total row_total</x:v>
      </x:c>
      <x:c r="G53" s="42" t="str">
        <x:v>Average adjusted_quantity</x:v>
      </x:c>
      <x:c r="H53" s="43" t="str">
        <x:v>NG count</x:v>
      </x:c>
    </x:row>
  </x:sheetData>
  <x:pageMargins left="0.7" right="0.7" top="0.75" bottom="0.75" header="0.3" footer="0.3"/>
  <x:tableParts count="1">
    <x:tablePart xmlns:r="http://schemas.openxmlformats.org/officeDocument/2006/relationships" r:id="R3bf28ad848004562"/>
  </x:tableParts>
</x:worksheet>
</file>